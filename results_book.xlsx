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anmsweeney/Documents/UM-Google Drive/Classes/EECS 598/llm-unlearning/"/>
    </mc:Choice>
  </mc:AlternateContent>
  <xr:revisionPtr revIDLastSave="0" documentId="13_ncr:1_{C89F323A-2FCF-FF4C-BED0-B4DF5E433972}" xr6:coauthVersionLast="47" xr6:coauthVersionMax="47" xr10:uidLastSave="{00000000-0000-0000-0000-000000000000}"/>
  <bookViews>
    <workbookView xWindow="0" yWindow="0" windowWidth="38400" windowHeight="21600" activeTab="1" xr2:uid="{45056C82-736C-D34B-BDA2-819A8F9EF233}"/>
  </bookViews>
  <sheets>
    <sheet name="Binary" sheetId="1" r:id="rId1"/>
    <sheet name="Mul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F2" i="2"/>
  <c r="E2" i="2"/>
  <c r="G5" i="2"/>
  <c r="F5" i="2"/>
  <c r="E5" i="2"/>
  <c r="G3" i="2"/>
  <c r="F3" i="2"/>
  <c r="E3" i="2"/>
  <c r="G6" i="2"/>
  <c r="F6" i="2"/>
  <c r="E6" i="2"/>
  <c r="G4" i="2"/>
  <c r="F4" i="2"/>
  <c r="E4" i="2"/>
  <c r="C2" i="2"/>
  <c r="C3" i="2"/>
  <c r="C4" i="2"/>
  <c r="C5" i="2"/>
  <c r="C6" i="2"/>
  <c r="F8" i="1"/>
  <c r="E8" i="1"/>
  <c r="D8" i="1"/>
  <c r="F9" i="1"/>
  <c r="E9" i="1"/>
  <c r="D9" i="1"/>
  <c r="D3" i="1"/>
  <c r="F3" i="1"/>
  <c r="F2" i="1"/>
  <c r="E2" i="1"/>
  <c r="D2" i="1"/>
  <c r="E3" i="1"/>
</calcChain>
</file>

<file path=xl/sharedStrings.xml><?xml version="1.0" encoding="utf-8"?>
<sst xmlns="http://schemas.openxmlformats.org/spreadsheetml/2006/main" count="57" uniqueCount="21">
  <si>
    <t>k</t>
  </si>
  <si>
    <t>Method</t>
  </si>
  <si>
    <t>SS</t>
  </si>
  <si>
    <t xml:space="preserve">LMS </t>
  </si>
  <si>
    <t>ICAT</t>
  </si>
  <si>
    <t>CrowS</t>
  </si>
  <si>
    <t>Model</t>
  </si>
  <si>
    <t xml:space="preserve">input </t>
  </si>
  <si>
    <t xml:space="preserve">Count </t>
  </si>
  <si>
    <t>Gender</t>
  </si>
  <si>
    <t xml:space="preserve">Profession </t>
  </si>
  <si>
    <t xml:space="preserve">Race </t>
  </si>
  <si>
    <t xml:space="preserve">Religion </t>
  </si>
  <si>
    <t>Domain</t>
  </si>
  <si>
    <t xml:space="preserve">bert-base-cased </t>
  </si>
  <si>
    <t>roberta-base</t>
  </si>
  <si>
    <t>input</t>
  </si>
  <si>
    <t>pretrained</t>
  </si>
  <si>
    <t xml:space="preserve">pretrained </t>
  </si>
  <si>
    <t>Pretrained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</si>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</sst>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r>
              <a:rPr lang="en-US"/>
              <a:t>Fig 1. Validation metrics vs </a:t>
            </a:r>
            <a:r>
              <a:rPr lang="en-US" i="1"/>
              <a:t>k</a:t>
            </a:r>
            <a:r>
              <a:rPr lang="en-US"/>
              <a:t> for multi-class BERT-cased</a:t>
            </a:r>
            <a:r>
              <a:rPr lang="en-US" baseline="0"/>
              <a:t> model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Georgia" panose="020405020504050203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127000">
                <a:solidFill>
                  <a:schemeClr val="accent1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Multi!$C$2:$C$6</c:f>
              <c:numCache>
                <c:formatCode>General</c:formatCode>
                <c:ptCount val="5"/>
                <c:pt idx="0">
                  <c:v>10</c:v>
                </c:pt>
                <c:pt idx="1">
                  <c:v>0.3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</c:numCache>
            </c:numRef>
          </c:xVal>
          <c:yVal>
            <c:numRef>
              <c:f>Multi!$E$2:$E$6</c:f>
              <c:numCache>
                <c:formatCode>General</c:formatCode>
                <c:ptCount val="5"/>
                <c:pt idx="0" formatCode="0.000">
                  <c:v>0.4894514767932483</c:v>
                </c:pt>
                <c:pt idx="1">
                  <c:v>0.52953586497890248</c:v>
                </c:pt>
                <c:pt idx="2">
                  <c:v>0.51476793248945119</c:v>
                </c:pt>
                <c:pt idx="3">
                  <c:v>0.49999999999999933</c:v>
                </c:pt>
                <c:pt idx="4">
                  <c:v>0.5105485232067507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7B-7C4C-976C-3D33CFE4961B}"/>
            </c:ext>
          </c:extLst>
        </c:ser>
        <c:ser>
          <c:idx val="1"/>
          <c:order val="1"/>
          <c:tx>
            <c:v>LMS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xVal>
            <c:numRef>
              <c:f>Multi!$C$2:$C$6</c:f>
              <c:numCache>
                <c:formatCode>General</c:formatCode>
                <c:ptCount val="5"/>
                <c:pt idx="0">
                  <c:v>10</c:v>
                </c:pt>
                <c:pt idx="1">
                  <c:v>0.3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</c:numCache>
            </c:numRef>
          </c:xVal>
          <c:yVal>
            <c:numRef>
              <c:f>Multi!$F$2:$F$6</c:f>
              <c:numCache>
                <c:formatCode>General</c:formatCode>
                <c:ptCount val="5"/>
                <c:pt idx="0" formatCode="0.000">
                  <c:v>0.72468354430379678</c:v>
                </c:pt>
                <c:pt idx="1">
                  <c:v>0.80063291139240444</c:v>
                </c:pt>
                <c:pt idx="2">
                  <c:v>0.75949367088607578</c:v>
                </c:pt>
                <c:pt idx="3">
                  <c:v>0.7383966244725737</c:v>
                </c:pt>
                <c:pt idx="4">
                  <c:v>0.72995780590717263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24-D349-B6A9-E74BA390076A}"/>
            </c:ext>
          </c:extLst>
        </c:ser>
        <c:ser>
          <c:idx val="2"/>
          <c:order val="2"/>
          <c:tx>
            <c:v>ICAT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27000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Multi!$C$2:$C$6</c:f>
              <c:numCache>
                <c:formatCode>General</c:formatCode>
                <c:ptCount val="5"/>
                <c:pt idx="0">
                  <c:v>10</c:v>
                </c:pt>
                <c:pt idx="1">
                  <c:v>0.3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</c:numCache>
            </c:numRef>
          </c:xVal>
          <c:yVal>
            <c:numRef>
              <c:f>Multi!$G$2:$G$6</c:f>
              <c:numCache>
                <c:formatCode>General</c:formatCode>
                <c:ptCount val="5"/>
                <c:pt idx="0" formatCode="0.000">
                  <c:v>0.57377518297221974</c:v>
                </c:pt>
                <c:pt idx="1">
                  <c:v>0.66738210935208953</c:v>
                </c:pt>
                <c:pt idx="2">
                  <c:v>0.61458181701924819</c:v>
                </c:pt>
                <c:pt idx="3">
                  <c:v>0.58789071472438514</c:v>
                </c:pt>
                <c:pt idx="4">
                  <c:v>0.578348452026194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24-D349-B6A9-E74BA390076A}"/>
            </c:ext>
          </c:extLst>
        </c:ser>
        <c:ser>
          <c:idx val="3"/>
          <c:order val="3"/>
          <c:tx>
            <c:v>SS (ref model)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Multi!$B$3</c:f>
              <c:numCache>
                <c:formatCode>General</c:formatCode>
                <c:ptCount val="1"/>
                <c:pt idx="0">
                  <c:v>3000</c:v>
                </c:pt>
              </c:numCache>
            </c:numRef>
          </c:xVal>
          <c:yVal>
            <c:numRef>
              <c:f>Multi!$H$3</c:f>
              <c:numCache>
                <c:formatCode>0.000</c:formatCode>
                <c:ptCount val="1"/>
                <c:pt idx="0">
                  <c:v>0.51259999999999994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24-D349-B6A9-E74BA3900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332287"/>
        <c:axId val="315327359"/>
      </c:scatterChart>
      <c:valAx>
        <c:axId val="315332287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Georgia" panose="02040502050405020303" pitchFamily="18" charset="0"/>
                    <a:ea typeface="+mn-ea"/>
                    <a:cs typeface="+mn-cs"/>
                  </a:defRPr>
                </a:pPr>
                <a:r>
                  <a:rPr lang="en-US" i="1"/>
                  <a:t>k</a:t>
                </a:r>
                <a:r>
                  <a:rPr lang="en-US"/>
                  <a:t>*10^-4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Georgia" panose="020405020504050203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315327359"/>
        <c:crosses val="autoZero"/>
        <c:crossBetween val="midCat"/>
      </c:valAx>
      <c:valAx>
        <c:axId val="31532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Georgia" panose="02040502050405020303" pitchFamily="18" charset="0"/>
                    <a:ea typeface="+mn-ea"/>
                    <a:cs typeface="+mn-cs"/>
                  </a:defRPr>
                </a:pPr>
                <a:r>
                  <a:rPr lang="en-US"/>
                  <a:t>Evaluation Metric (SS, LMS, ICAT)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Georgia" panose="020405020504050203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3153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Georgia" panose="020405020504050203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Georgia" panose="020405020504050203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920750</xdr:colOff>
      <xdr:row>9</xdr:row>
      <xdr:rowOff>0</xdr:rowOff>
    </xdr:from>
    <xdr:to>
      <xdr:col>10</xdr:col>
      <xdr:colOff>292100</xdr:colOff>
      <xdr:row>34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9FF6FB-950A-4757-D73A-AF71A5015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6ED3-D573-EA45-B4F9-F140C510FDBB}">
  <dimension ref="A1:J11"/>
  <sheetViews>
    <sheetView workbookViewId="0">
      <selection activeCell="D42" sqref="D42"/>
    </sheetView>
  </sheetViews>
  <sheetFormatPr baseColWidth="10" defaultRowHeight="16" x14ac:dyDescent="0.2"/>
  <cols>
    <col min="1" max="1" width="15.5" bestFit="1" customWidth="1"/>
    <col min="4" max="7" width="14.6640625" bestFit="1" customWidth="1"/>
  </cols>
  <sheetData>
    <row r="1" spans="1:10" x14ac:dyDescent="0.2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I1" s="3" t="s">
        <v>13</v>
      </c>
      <c r="J1" s="3" t="s">
        <v>8</v>
      </c>
    </row>
    <row r="2" spans="1:10" x14ac:dyDescent="0.2">
      <c r="A2" s="4" t="s">
        <v>14</v>
      </c>
      <c r="B2">
        <v>0</v>
      </c>
      <c r="C2" t="s">
        <v>18</v>
      </c>
      <c r="D2" s="1">
        <f>(0.615384615384615*J2+0.638418079096045*J3+0.502164502164502*J4+0.625*J5)/SUM(J2:J5)</f>
        <v>0.56932773109243684</v>
      </c>
      <c r="E2" s="1">
        <f>(0.85576923076923*J2+0.881355932203389*J3+0.874458874458874*J4+0.8125*J5)/SUM(J2:J5)</f>
        <v>0.87289915966386489</v>
      </c>
      <c r="F2" s="1">
        <f>(0.658284023668638*J2+0.637364741932394*J3+0.870673338205805*J4+0.609375*J5)/SUM(J2:J5)</f>
        <v>0.75193249932425188</v>
      </c>
      <c r="G2" s="1">
        <v>0.51608751608751602</v>
      </c>
      <c r="I2" t="s">
        <v>9</v>
      </c>
      <c r="J2">
        <v>156</v>
      </c>
    </row>
    <row r="3" spans="1:10" x14ac:dyDescent="0.2">
      <c r="A3" s="4"/>
      <c r="B3">
        <v>3000</v>
      </c>
      <c r="C3" t="s">
        <v>7</v>
      </c>
      <c r="D3" s="1">
        <f>(0.596153846153846*J2+ 0.598870056497175*J3+0.467532467532467*J4+ 0.5*J5)/SUM(J2:J5)</f>
        <v>0.53151260504201647</v>
      </c>
      <c r="E3" s="1">
        <f>(0.836538461538461*J2 +  0.838983050847457*J3 +  0.844155844155844*J4 + 0.6875*J5)/SUM(J2:J5)</f>
        <v>0.8361344537815123</v>
      </c>
      <c r="F3" s="1">
        <f>(0.675665680473372*J2+0.673082447572536*J3+0.789340529600269*J4+0.6875*J5)/SUM(J2:J5)</f>
        <v>0.73026863643406792</v>
      </c>
      <c r="G3" s="1">
        <v>0.50707850707850699</v>
      </c>
      <c r="I3" t="s">
        <v>10</v>
      </c>
      <c r="J3">
        <v>531</v>
      </c>
    </row>
    <row r="4" spans="1:10" x14ac:dyDescent="0.2">
      <c r="I4" t="s">
        <v>11</v>
      </c>
      <c r="J4">
        <v>693</v>
      </c>
    </row>
    <row r="5" spans="1:10" x14ac:dyDescent="0.2">
      <c r="I5" t="s">
        <v>12</v>
      </c>
      <c r="J5">
        <v>48</v>
      </c>
    </row>
    <row r="7" spans="1:10" x14ac:dyDescent="0.2">
      <c r="A7" s="3"/>
      <c r="I7" s="3" t="s">
        <v>13</v>
      </c>
      <c r="J7" s="3" t="s">
        <v>8</v>
      </c>
    </row>
    <row r="8" spans="1:10" x14ac:dyDescent="0.2">
      <c r="A8" s="2" t="s">
        <v>15</v>
      </c>
      <c r="B8">
        <v>0</v>
      </c>
      <c r="C8" t="s">
        <v>17</v>
      </c>
      <c r="D8" s="1">
        <f>(0.623188405797101*J8+ 0.663716814159292*J9+0.592334494773519*J10+0.65*J11)/SUM(J8:J11)</f>
        <v>0.62458471760797329</v>
      </c>
      <c r="E8" s="1">
        <f>(0.927536231884058*J8+0.913716814159292*J9+0.916376306620209*J10+0.925*J11)/SUM(J8:J11)</f>
        <v>0.9169435215946844</v>
      </c>
      <c r="F8" s="1">
        <f>(0.699012812434362*J8+0.614535202443417*J9+0.747150020031808*J10+0.6475*J11)/SUM(J8:J11)</f>
        <v>0.68853637136098345</v>
      </c>
      <c r="G8" s="1">
        <v>0.47951807228915599</v>
      </c>
      <c r="I8" t="s">
        <v>9</v>
      </c>
      <c r="J8">
        <v>207</v>
      </c>
    </row>
    <row r="9" spans="1:10" x14ac:dyDescent="0.2">
      <c r="A9" s="2"/>
      <c r="B9">
        <v>22000</v>
      </c>
      <c r="C9" t="s">
        <v>16</v>
      </c>
      <c r="D9" s="1">
        <f>(0.608695652173913*J8+0.570796460176991*J9+0.554006968641115*J10+0.6*J11)/SUM(J8:J11)</f>
        <v>0.56810631229235875</v>
      </c>
      <c r="E9" s="1">
        <f>(0.847826086956521*J8+0.834070796460177*J9+0.864111498257839*J10+0.775*J11)/SUM(J8:J11)</f>
        <v>0.8480066445182719</v>
      </c>
      <c r="F9" s="1">
        <f>(0.66351606805293*J8+0.715972276607408*J9+0.770775413080163*J10+0.62*J11)/SUM(J8:J11)</f>
        <v>0.73289848299490556</v>
      </c>
      <c r="G9" s="1">
        <v>0.472289156626506</v>
      </c>
      <c r="I9" t="s">
        <v>10</v>
      </c>
      <c r="J9">
        <v>678</v>
      </c>
    </row>
    <row r="10" spans="1:10" x14ac:dyDescent="0.2">
      <c r="I10" t="s">
        <v>11</v>
      </c>
      <c r="J10">
        <v>861</v>
      </c>
    </row>
    <row r="11" spans="1:10" x14ac:dyDescent="0.2">
      <c r="I11" t="s">
        <v>12</v>
      </c>
      <c r="J11">
        <v>60</v>
      </c>
    </row>
  </sheetData>
  <mergeCells count="1">
    <mergeCell ref="A2:A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33641-5DE0-A34D-81CD-900C28EC9E68}">
  <dimension ref="A1:K45"/>
  <sheetViews>
    <sheetView tabSelected="1" topLeftCell="A9" zoomScale="193" zoomScaleNormal="193" workbookViewId="0">
      <selection activeCell="L18" sqref="L18"/>
    </sheetView>
  </sheetViews>
  <sheetFormatPr baseColWidth="10" defaultRowHeight="16" x14ac:dyDescent="0.2"/>
  <cols>
    <col min="1" max="1" width="15.1640625" bestFit="1" customWidth="1"/>
  </cols>
  <sheetData>
    <row r="1" spans="1:11" x14ac:dyDescent="0.2">
      <c r="A1" s="3" t="s">
        <v>6</v>
      </c>
      <c r="B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19</v>
      </c>
      <c r="J1" s="3" t="s">
        <v>13</v>
      </c>
      <c r="K1" s="3" t="s">
        <v>8</v>
      </c>
    </row>
    <row r="2" spans="1:11" x14ac:dyDescent="0.2">
      <c r="A2" s="4" t="s">
        <v>14</v>
      </c>
      <c r="B2">
        <v>100000</v>
      </c>
      <c r="C2">
        <f>B2/10000</f>
        <v>10</v>
      </c>
      <c r="D2" t="s">
        <v>7</v>
      </c>
      <c r="E2" s="1">
        <f>(0.653846153846153*K2+0.564971751412429*K3+0.382608695652173*K4+0.666666666666666*K5)/SUM(K2:K5)</f>
        <v>0.4894514767932483</v>
      </c>
      <c r="F2" s="1">
        <f>(0.778846153846153*K2+0.706214689265536*K3+0.728260869565217*K4+0.7*K5)/SUM(K2:K5)</f>
        <v>0.72468354430379678</v>
      </c>
      <c r="G2" s="1">
        <f>(0.539201183431952*K2+0.614446678796003*K3+0.557277882797731*K4+0.466666666666666*K5)/SUM(K2:K5)</f>
        <v>0.57377518297221974</v>
      </c>
      <c r="J2" t="s">
        <v>9</v>
      </c>
      <c r="K2">
        <v>156</v>
      </c>
    </row>
    <row r="3" spans="1:11" x14ac:dyDescent="0.2">
      <c r="A3" s="4"/>
      <c r="B3">
        <v>3000</v>
      </c>
      <c r="C3">
        <f t="shared" ref="C3:C6" si="0">B3/10000</f>
        <v>0.3</v>
      </c>
      <c r="D3" t="s">
        <v>7</v>
      </c>
      <c r="E3">
        <f>(0.692307692307692*K2+0.570621468926553*K3+0.443478260869565*K4+0.8*K5)/SUM(K2:K5)</f>
        <v>0.52953586497890248</v>
      </c>
      <c r="F3">
        <f>(0.85576923076923*K2+0.779661016949152*K3+0.806521739130434*K4+0.766666666666666*K5)/SUM(K2:K5)</f>
        <v>0.80063291139240444</v>
      </c>
      <c r="G3">
        <f>(0.526627218934911*K2+0.669539404385713*K3+ 0.721069695095669*K4+0.306666666666666*K5)/SUM(K2:K5)</f>
        <v>0.66738210935208953</v>
      </c>
      <c r="H3" s="1">
        <v>0.51259999999999994</v>
      </c>
      <c r="J3" t="s">
        <v>10</v>
      </c>
      <c r="K3">
        <v>531</v>
      </c>
    </row>
    <row r="4" spans="1:11" x14ac:dyDescent="0.2">
      <c r="A4" s="4"/>
      <c r="B4">
        <v>10000</v>
      </c>
      <c r="C4">
        <f t="shared" si="0"/>
        <v>1</v>
      </c>
      <c r="D4" t="s">
        <v>7</v>
      </c>
      <c r="E4">
        <f>(0.692307692307692*K2+0.564971751412429*K3+0.417391304347826*K4+0.8*K5)/SUM(K2:K5)</f>
        <v>0.51476793248945119</v>
      </c>
      <c r="F4">
        <f>(0.788461538461538*K2+0.731638418079096*K3+0.776086956521739*K4+0.733333333333333*K5)/SUM(K2:K5)</f>
        <v>0.75949367088607578</v>
      </c>
      <c r="G4">
        <f>(0.485207100591716*K2+0.636566759232659*K3+0.647863894139886*K4+0.293333333333333*K5)/SUM(K2:K5)</f>
        <v>0.61458181701924819</v>
      </c>
      <c r="H4" s="1"/>
      <c r="J4" t="s">
        <v>11</v>
      </c>
      <c r="K4">
        <v>690</v>
      </c>
    </row>
    <row r="5" spans="1:11" x14ac:dyDescent="0.2">
      <c r="A5" s="4"/>
      <c r="B5">
        <v>15000</v>
      </c>
      <c r="C5">
        <f t="shared" si="0"/>
        <v>1.5</v>
      </c>
      <c r="D5" t="s">
        <v>7</v>
      </c>
      <c r="E5">
        <f>(0.653846153846153*K2+0.570621468926553*K3+0.395652173913043*K4+0.733333333333333*K5)/SUM(K2:K5)</f>
        <v>0.49999999999999933</v>
      </c>
      <c r="F5">
        <f>(0.788461538461538*K2+0.720338983050847*K3+0.741304347826087*K4+0.733333333333333*K5)/SUM(K2:K5)</f>
        <v>0.7383966244725737</v>
      </c>
      <c r="G5">
        <f>(0.54585798816568*K2+0.618596188834626*K3+0.586597353497164*K4+ 0.391111111111111*K5)/SUM(K2:K5)</f>
        <v>0.58789071472438514</v>
      </c>
      <c r="H5" s="1"/>
      <c r="J5" t="s">
        <v>12</v>
      </c>
      <c r="K5">
        <v>45</v>
      </c>
    </row>
    <row r="6" spans="1:11" x14ac:dyDescent="0.2">
      <c r="A6" s="4"/>
      <c r="B6">
        <v>20000</v>
      </c>
      <c r="C6">
        <f t="shared" si="0"/>
        <v>2</v>
      </c>
      <c r="D6" t="s">
        <v>7</v>
      </c>
      <c r="E6">
        <f>(0.673076923076923*K2+0.581920903954802*K3+0.404347826086956*K4+0.733333333333333*K5)/SUM(K2:K5)</f>
        <v>0.5105485232067507</v>
      </c>
      <c r="F6">
        <f>(0.759615384615384*K2+0.714689265536723*K3+0.734782608695652*K4+0.733333333333333*K5)/SUM(K2:K5)</f>
        <v>0.72995780590717263</v>
      </c>
      <c r="G6">
        <f>(0.496671597633136*K2+0.597593284177599*K3+0.594215500945179*K4+0.391111111111111*K5)/SUM(K2:K5)</f>
        <v>0.578348452026194</v>
      </c>
      <c r="H6" s="1"/>
    </row>
    <row r="39" spans="1:7" x14ac:dyDescent="0.2">
      <c r="A39" t="s">
        <v>6</v>
      </c>
      <c r="B39" t="s">
        <v>0</v>
      </c>
      <c r="D39" t="s">
        <v>1</v>
      </c>
      <c r="E39" t="s">
        <v>2</v>
      </c>
      <c r="F39" t="s">
        <v>3</v>
      </c>
      <c r="G39" t="s">
        <v>4</v>
      </c>
    </row>
    <row r="40" spans="1:7" x14ac:dyDescent="0.2">
      <c r="A40" s="4" t="s">
        <v>14</v>
      </c>
      <c r="B40">
        <v>100000</v>
      </c>
      <c r="C40">
        <v>10</v>
      </c>
      <c r="D40" t="s">
        <v>7</v>
      </c>
      <c r="E40">
        <v>0.52100000000000002</v>
      </c>
      <c r="F40">
        <v>0.66071428571428503</v>
      </c>
      <c r="G40">
        <v>0.54429611378443488</v>
      </c>
    </row>
    <row r="41" spans="1:7" x14ac:dyDescent="0.2">
      <c r="A41" s="4"/>
      <c r="B41">
        <v>3000</v>
      </c>
      <c r="C41">
        <v>0.3</v>
      </c>
      <c r="D41" t="s">
        <v>7</v>
      </c>
      <c r="E41">
        <v>0.52249999999999996</v>
      </c>
      <c r="F41">
        <v>0.76370000000000005</v>
      </c>
      <c r="G41">
        <v>0.64329999999999998</v>
      </c>
    </row>
    <row r="42" spans="1:7" x14ac:dyDescent="0.2">
      <c r="A42" s="4"/>
      <c r="B42">
        <v>10000</v>
      </c>
      <c r="C42">
        <v>1</v>
      </c>
      <c r="D42" t="s">
        <v>7</v>
      </c>
      <c r="E42">
        <v>0.53359999999999996</v>
      </c>
      <c r="F42">
        <v>0.70899999999999996</v>
      </c>
      <c r="G42">
        <v>0.61829999999999996</v>
      </c>
    </row>
    <row r="43" spans="1:7" x14ac:dyDescent="0.2">
      <c r="A43" s="4"/>
      <c r="B43">
        <v>15000</v>
      </c>
      <c r="C43">
        <v>1.5</v>
      </c>
      <c r="D43" t="s">
        <v>7</v>
      </c>
      <c r="E43">
        <v>0.52100000000000002</v>
      </c>
      <c r="F43">
        <v>0.67789999999999995</v>
      </c>
      <c r="G43">
        <v>0.58330000000000004</v>
      </c>
    </row>
    <row r="44" spans="1:7" x14ac:dyDescent="0.2">
      <c r="A44" s="4"/>
      <c r="B44">
        <v>20000</v>
      </c>
      <c r="C44">
        <v>2</v>
      </c>
      <c r="D44" t="s">
        <v>7</v>
      </c>
      <c r="E44">
        <v>0.52100840336134424</v>
      </c>
      <c r="F44">
        <v>0.67749999999999999</v>
      </c>
      <c r="G44">
        <v>0.57389999999999997</v>
      </c>
    </row>
    <row r="45" spans="1:7" x14ac:dyDescent="0.2">
      <c r="A45" s="4"/>
      <c r="B45" t="s">
        <v>20</v>
      </c>
    </row>
  </sheetData>
  <mergeCells count="2">
    <mergeCell ref="A40:A45"/>
    <mergeCell ref="A2:A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Binary</vt:lpstr>
      <vt:lpstr>Multi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Dean Sweeney</dc:creator>
  <cp:lastModifiedBy>Dean Sweeney</cp:lastModifiedBy>
  <dcterms:created xsi:type="dcterms:W3CDTF">2025-12-07T19:11:43Z</dcterms:created>
  <dcterms:modified xsi:type="dcterms:W3CDTF">2025-12-08T18:44:29Z</dcterms:modified>
</cp:coreProperties>
</file>