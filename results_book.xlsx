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anmsweeney/Documents/UM-Google Drive/Classes/EECS 598/llm-unlearning/"/>
    </mc:Choice>
  </mc:AlternateContent>
  <xr:revisionPtr revIDLastSave="0" documentId="8_{6BBD73D1-B970-4F4C-BC9F-F5EA6A1A9FC2}" xr6:coauthVersionLast="47" xr6:coauthVersionMax="47" xr10:uidLastSave="{00000000-0000-0000-0000-000000000000}"/>
  <bookViews>
    <workbookView xWindow="0" yWindow="660" windowWidth="30240" windowHeight="18980" xr2:uid="{45056C82-736C-D34B-BDA2-819A8F9EF233}"/>
  </bookViews>
  <sheets>
    <sheet name="Binary" sheetId="1" r:id="rId1"/>
    <sheet name="Multi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10" i="1"/>
  <c r="D10" i="1"/>
  <c r="F11" i="1"/>
  <c r="E11" i="1"/>
  <c r="D11" i="1"/>
  <c r="D3" i="1"/>
  <c r="F3" i="1"/>
  <c r="F2" i="1"/>
  <c r="E2" i="1"/>
  <c r="D2" i="1"/>
  <c r="E3" i="1"/>
</calcChain>
</file>

<file path=xl/sharedStrings.xml><?xml version="1.0" encoding="utf-8"?>
<sst xmlns="http://schemas.openxmlformats.org/spreadsheetml/2006/main" count="25" uniqueCount="19">
  <si>
    <t>k</t>
  </si>
  <si>
    <t>Method</t>
  </si>
  <si>
    <t>SS</t>
  </si>
  <si>
    <t xml:space="preserve">LMS </t>
  </si>
  <si>
    <t>ICAT</t>
  </si>
  <si>
    <t>CrowS</t>
  </si>
  <si>
    <t>Model</t>
  </si>
  <si>
    <t xml:space="preserve">input </t>
  </si>
  <si>
    <t xml:space="preserve">Count </t>
  </si>
  <si>
    <t>Gender</t>
  </si>
  <si>
    <t xml:space="preserve">Profession </t>
  </si>
  <si>
    <t xml:space="preserve">Race </t>
  </si>
  <si>
    <t xml:space="preserve">Religion </t>
  </si>
  <si>
    <t>Domain</t>
  </si>
  <si>
    <t xml:space="preserve">bert-base-cased </t>
  </si>
  <si>
    <t>roberta-base</t>
  </si>
  <si>
    <t>input</t>
  </si>
  <si>
    <t>pretrained</t>
  </si>
  <si>
    <t xml:space="preserve">pretrained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</si>
</sst>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7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6ED3-D573-EA45-B4F9-F140C510FDBB}">
  <dimension ref="A1:G16"/>
  <sheetViews>
    <sheetView tabSelected="1" workbookViewId="0">
      <selection activeCell="D25" sqref="D25"/>
    </sheetView>
  </sheetViews>
  <sheetFormatPr baseColWidth="10" defaultRowHeight="16" x14ac:dyDescent="0.2"/>
  <cols>
    <col min="1" max="1" width="15.5" bestFit="1" customWidth="1"/>
    <col min="4" max="7" width="14.6640625" bestFit="1" customWidth="1"/>
  </cols>
  <sheetData>
    <row r="1" spans="1:7" x14ac:dyDescent="0.2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">
      <c r="A2" s="2" t="s">
        <v>14</v>
      </c>
      <c r="B2">
        <v>0</v>
      </c>
      <c r="C2" t="s">
        <v>18</v>
      </c>
      <c r="D2" s="1">
        <f>(0.615384615384615*B5+0.638418079096045*B6+0.502164502164502*B7+0.625*B8)/SUM(B5:B8)</f>
        <v>0.56932773109243684</v>
      </c>
      <c r="E2" s="1">
        <f>(0.85576923076923*B5+0.881355932203389*B6+0.874458874458874*B7+0.8125*B8)/SUM(B5:B8)</f>
        <v>0.87289915966386489</v>
      </c>
      <c r="F2" s="1">
        <f>(0.658284023668638*B5+0.637364741932394*B6+0.870673338205805*B7+0.609375*B8)/SUM(B5:B8)</f>
        <v>0.75193249932425188</v>
      </c>
      <c r="G2" s="1">
        <v>0.51608751608751602</v>
      </c>
    </row>
    <row r="3" spans="1:7" x14ac:dyDescent="0.2">
      <c r="A3" s="2"/>
      <c r="B3">
        <v>3000</v>
      </c>
      <c r="C3" t="s">
        <v>7</v>
      </c>
      <c r="D3" s="1">
        <f>(0.596153846153846*B5+ 0.598870056497175*B6+0.467532467532467*B7+ 0.5*B8)/SUM(B5:B8)</f>
        <v>0.53151260504201647</v>
      </c>
      <c r="E3" s="1">
        <f>(0.836538461538461*B5 +  0.838983050847457*B6 +  0.844155844155844*B7 + 0.6875*B8)/SUM(B5:B8)</f>
        <v>0.8361344537815123</v>
      </c>
      <c r="F3" s="1">
        <f>(0.675665680473372*B5+0.673082447572536*B6+0.789340529600269*B7+0.6875*B8)/SUM(B5:B8)</f>
        <v>0.73026863643406792</v>
      </c>
      <c r="G3" s="1">
        <v>0.50707850707850699</v>
      </c>
    </row>
    <row r="4" spans="1:7" x14ac:dyDescent="0.2">
      <c r="A4" s="3" t="s">
        <v>13</v>
      </c>
      <c r="B4" s="3" t="s">
        <v>8</v>
      </c>
    </row>
    <row r="5" spans="1:7" x14ac:dyDescent="0.2">
      <c r="A5" t="s">
        <v>9</v>
      </c>
      <c r="B5">
        <v>156</v>
      </c>
    </row>
    <row r="6" spans="1:7" x14ac:dyDescent="0.2">
      <c r="A6" t="s">
        <v>10</v>
      </c>
      <c r="B6">
        <v>531</v>
      </c>
    </row>
    <row r="7" spans="1:7" x14ac:dyDescent="0.2">
      <c r="A7" t="s">
        <v>11</v>
      </c>
      <c r="B7">
        <v>693</v>
      </c>
    </row>
    <row r="8" spans="1:7" x14ac:dyDescent="0.2">
      <c r="A8" t="s">
        <v>12</v>
      </c>
      <c r="B8">
        <v>48</v>
      </c>
    </row>
    <row r="10" spans="1:7" x14ac:dyDescent="0.2">
      <c r="A10" s="4" t="s">
        <v>15</v>
      </c>
      <c r="B10">
        <v>0</v>
      </c>
      <c r="C10" t="s">
        <v>17</v>
      </c>
      <c r="D10" s="1">
        <f>(0.623188405797101*B13+ 0.663716814159292*B14+0.592334494773519*B15+0.65*B16)/SUM(B13:B16)</f>
        <v>0.62458471760797329</v>
      </c>
      <c r="E10" s="1">
        <f>(0.927536231884058*B13+0.913716814159292*B14+0.916376306620209*B15+0.925*B16)/SUM(B13:B16)</f>
        <v>0.9169435215946844</v>
      </c>
      <c r="F10" s="1">
        <f>(0.699012812434362*B13+0.614535202443417*B14+0.747150020031808*B15+0.6475*B16)/SUM(B13:B16)</f>
        <v>0.68853637136098345</v>
      </c>
      <c r="G10" s="1">
        <v>0.47951807228915599</v>
      </c>
    </row>
    <row r="11" spans="1:7" x14ac:dyDescent="0.2">
      <c r="A11" s="4"/>
      <c r="B11">
        <v>22000</v>
      </c>
      <c r="C11" t="s">
        <v>16</v>
      </c>
      <c r="D11" s="1">
        <f>(0.608695652173913*B13+0.570796460176991*B14+0.554006968641115*B15+0.6*B16)/SUM(B13:B16)</f>
        <v>0.56810631229235875</v>
      </c>
      <c r="E11" s="1">
        <f>(0.847826086956521*B13+0.834070796460177*B14+0.864111498257839*B15+0.775*B16)/SUM(B13:B16)</f>
        <v>0.8480066445182719</v>
      </c>
      <c r="F11" s="1">
        <f>(0.66351606805293*B13+0.715972276607408*B14+0.770775413080163*B15+0.62*B16)/SUM(B13:B16)</f>
        <v>0.73289848299490556</v>
      </c>
      <c r="G11" s="1">
        <v>0.472289156626506</v>
      </c>
    </row>
    <row r="12" spans="1:7" x14ac:dyDescent="0.2">
      <c r="A12" s="3" t="s">
        <v>13</v>
      </c>
      <c r="B12" s="3" t="s">
        <v>8</v>
      </c>
    </row>
    <row r="13" spans="1:7" x14ac:dyDescent="0.2">
      <c r="A13" t="s">
        <v>9</v>
      </c>
      <c r="B13">
        <v>207</v>
      </c>
    </row>
    <row r="14" spans="1:7" x14ac:dyDescent="0.2">
      <c r="A14" t="s">
        <v>10</v>
      </c>
      <c r="B14">
        <v>678</v>
      </c>
    </row>
    <row r="15" spans="1:7" x14ac:dyDescent="0.2">
      <c r="A15" t="s">
        <v>11</v>
      </c>
      <c r="B15">
        <v>861</v>
      </c>
    </row>
    <row r="16" spans="1:7" x14ac:dyDescent="0.2">
      <c r="A16" t="s">
        <v>12</v>
      </c>
      <c r="B16">
        <v>60</v>
      </c>
    </row>
  </sheetData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3641-5DE0-A34D-81CD-900C28EC9E6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Binary</vt:lpstr>
      <vt:lpstr>Multi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Sweeney</dc:creator>
  <cp:lastModifiedBy>Dean Sweeney</cp:lastModifiedBy>
  <dcterms:created xsi:type="dcterms:W3CDTF">2025-12-07T19:11:43Z</dcterms:created>
  <dcterms:modified xsi:type="dcterms:W3CDTF">2025-12-07T22:56:55Z</dcterms:modified>
</cp:coreProperties>
</file>